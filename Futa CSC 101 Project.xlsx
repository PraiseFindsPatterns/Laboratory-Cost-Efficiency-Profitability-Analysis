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ise\Desktop\"/>
    </mc:Choice>
  </mc:AlternateContent>
  <xr:revisionPtr revIDLastSave="0" documentId="13_ncr:1_{C055908B-C3EF-4C22-80AC-DCD710203FBB}" xr6:coauthVersionLast="47" xr6:coauthVersionMax="47" xr10:uidLastSave="{00000000-0000-0000-0000-000000000000}"/>
  <bookViews>
    <workbookView xWindow="-120" yWindow="-120" windowWidth="20730" windowHeight="11160" xr2:uid="{AA0FECA1-34D4-4BB9-AD6D-0D126296B75E}"/>
  </bookViews>
  <sheets>
    <sheet name="ASIGNMENT SOLU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E16" i="1"/>
  <c r="F16" i="1"/>
  <c r="G16" i="1"/>
  <c r="H16" i="1"/>
  <c r="I16" i="1"/>
  <c r="B19" i="1"/>
  <c r="B18" i="1"/>
  <c r="G11" i="1" l="1"/>
  <c r="H11" i="1" s="1"/>
  <c r="I11" i="1" s="1"/>
  <c r="J11" i="1" s="1"/>
  <c r="G12" i="1"/>
  <c r="H12" i="1" s="1"/>
  <c r="G13" i="1"/>
  <c r="H13" i="1" s="1"/>
  <c r="G14" i="1"/>
  <c r="H14" i="1" s="1"/>
  <c r="I14" i="1" s="1"/>
  <c r="J14" i="1" s="1"/>
  <c r="G15" i="1"/>
  <c r="H15" i="1" s="1"/>
  <c r="I12" i="1"/>
  <c r="J12" i="1" s="1"/>
  <c r="I13" i="1"/>
  <c r="J13" i="1" s="1"/>
  <c r="K15" i="1"/>
  <c r="G9" i="1"/>
  <c r="H9" i="1" s="1"/>
  <c r="G10" i="1"/>
  <c r="H10" i="1" s="1"/>
  <c r="I10" i="1" s="1"/>
  <c r="J10" i="1" s="1"/>
  <c r="B16" i="1"/>
  <c r="C16" i="1"/>
  <c r="D16" i="1"/>
  <c r="K11" i="1" l="1"/>
  <c r="K14" i="1"/>
  <c r="K13" i="1"/>
  <c r="I15" i="1"/>
  <c r="J15" i="1" s="1"/>
  <c r="K10" i="1"/>
  <c r="K12" i="1"/>
  <c r="I9" i="1"/>
  <c r="J9" i="1" s="1"/>
  <c r="B20" i="1"/>
  <c r="K9" i="1"/>
  <c r="K16" i="1" l="1"/>
</calcChain>
</file>

<file path=xl/sharedStrings.xml><?xml version="1.0" encoding="utf-8"?>
<sst xmlns="http://schemas.openxmlformats.org/spreadsheetml/2006/main" count="34" uniqueCount="34">
  <si>
    <t>FEDERAL UNIVERSITY OF TECHNOLOGY AKURE</t>
  </si>
  <si>
    <t>Date: 12th March 2026</t>
  </si>
  <si>
    <t>Experiment</t>
  </si>
  <si>
    <t>Summary Statistic</t>
  </si>
  <si>
    <t>Overall Surplus</t>
  </si>
  <si>
    <t>Total Lab Cost</t>
  </si>
  <si>
    <t>Total Revenue</t>
  </si>
  <si>
    <t>Status</t>
  </si>
  <si>
    <t>TOTAL</t>
  </si>
  <si>
    <t>Q</t>
  </si>
  <si>
    <t>CM</t>
  </si>
  <si>
    <t>E</t>
  </si>
  <si>
    <t>L</t>
  </si>
  <si>
    <t>R</t>
  </si>
  <si>
    <t>MC</t>
  </si>
  <si>
    <t>TEC</t>
  </si>
  <si>
    <t>PE</t>
  </si>
  <si>
    <t>EI</t>
  </si>
  <si>
    <t>Q = Quantity of chemicals used in grams</t>
  </si>
  <si>
    <t>R = Revenue generated from the experiment</t>
  </si>
  <si>
    <t xml:space="preserve">MC = Material cost </t>
  </si>
  <si>
    <t xml:space="preserve">PE = Profit/Surplus </t>
  </si>
  <si>
    <t xml:space="preserve">L = Laboratory  cost </t>
  </si>
  <si>
    <t>E = Energy cost</t>
  </si>
  <si>
    <t>EI= Efficiency Index</t>
  </si>
  <si>
    <t>CM= Unit cost per gram</t>
  </si>
  <si>
    <t xml:space="preserve">TEC = Total Experiment Cost </t>
  </si>
  <si>
    <t>Status = Surplus or Deficit or Even Break</t>
  </si>
  <si>
    <t>LABORATORY EXPERIMENT COST AND PERFORMANCE EVALUATION</t>
  </si>
  <si>
    <t>Name: ONU VERONICA PRAISE</t>
  </si>
  <si>
    <t>Department: STATISTICS</t>
  </si>
  <si>
    <t>CSC 101 - EXCEL PRACTICAL ASSIGNMENT</t>
  </si>
  <si>
    <t xml:space="preserve">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</si>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</sst>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₦-470]#,##0.00"/>
    <numFmt numFmtId="166" formatCode="[$₦-470]#,##0.00;\-[$₦-470]#,##0.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5" fontId="2" fillId="0" borderId="0" xfId="0" applyNumberFormat="1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66" fontId="1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165" fontId="7" fillId="0" borderId="0" xfId="0" applyNumberFormat="1" applyFont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AE4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SUMMARY STATISTIC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2B9B-4296-9C64-3CCA870C1A5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B9B-4296-9C64-3CCA870C1A57}"/>
              </c:ext>
            </c:extLst>
          </c:dPt>
          <c:dLbls>
            <c:dLbl>
              <c:idx val="0"/>
              <c:layout>
                <c:manualLayout>
                  <c:x val="1.7344094759383342E-2"/>
                  <c:y val="-0.271022813354151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9B-4296-9C64-3CCA870C1A57}"/>
                </c:ext>
              </c:extLst>
            </c:dLbl>
            <c:dLbl>
              <c:idx val="1"/>
              <c:layout>
                <c:manualLayout>
                  <c:x val="1.9512106604306308E-2"/>
                  <c:y val="-8.35720605764182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9B-4296-9C64-3CCA870C1A57}"/>
                </c:ext>
              </c:extLst>
            </c:dLbl>
            <c:dLbl>
              <c:idx val="2"/>
              <c:layout>
                <c:manualLayout>
                  <c:x val="1.9512148406620689E-2"/>
                  <c:y val="-0.275661303070627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9B-4296-9C64-3CCA870C1A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'ASIGNMENT SOLUTION'!$A$18:$A$20</c:f>
              <c:strCache>
                <c:ptCount val="3"/>
                <c:pt idx="0">
                  <c:v>Total Revenue</c:v>
                </c:pt>
                <c:pt idx="1">
                  <c:v>Total Lab Cost</c:v>
                </c:pt>
                <c:pt idx="2">
                  <c:v>Overall Surplus</c:v>
                </c:pt>
              </c:strCache>
            </c:strRef>
          </c:cat>
          <c:val>
            <c:numRef>
              <c:f>'ASIGNMENT SOLUTION'!$B$18:$B$20</c:f>
              <c:numCache>
                <c:formatCode>[$₦-470]#,##0.00</c:formatCode>
                <c:ptCount val="3"/>
                <c:pt idx="0">
                  <c:v>5300</c:v>
                </c:pt>
                <c:pt idx="1">
                  <c:v>560</c:v>
                </c:pt>
                <c:pt idx="2">
                  <c:v>4740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B-4296-9C64-3CCA870C1A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5167600"/>
        <c:axId val="345168560"/>
        <c:axId val="0"/>
      </c:bar3DChart>
      <c:catAx>
        <c:axId val="345167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</a:t>
                </a:r>
                <a:r>
                  <a:rPr lang="en-US" baseline="0"/>
                  <a:t> Indicator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68560"/>
        <c:crosses val="autoZero"/>
        <c:auto val="1"/>
        <c:lblAlgn val="ctr"/>
        <c:lblOffset val="100"/>
        <c:noMultiLvlLbl val="0"/>
      </c:catAx>
      <c:valAx>
        <c:axId val="3451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70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6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270899</xdr:colOff>
      <xdr:row>16</xdr:row>
      <xdr:rowOff>33228</xdr:rowOff>
    </xdr:from>
    <xdr:to>
      <xdr:col>10</xdr:col>
      <xdr:colOff>664533</xdr:colOff>
      <xdr:row>30</xdr:row>
      <xdr:rowOff>22153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E059A3-A953-2FA6-A254-E8B1D4661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7C5A-5A04-470D-BAE9-F142DA069A16}">
  <sheetPr codeName="Sheet1"/>
  <dimension ref="A1:R34"/>
  <sheetViews>
    <sheetView tabSelected="1" zoomScale="86" zoomScaleNormal="86" workbookViewId="0">
      <selection activeCell="R2" sqref="R2"/>
    </sheetView>
  </sheetViews>
  <sheetFormatPr defaultRowHeight="15.75" x14ac:dyDescent="0.25"/>
  <cols>
    <col min="1" max="1" width="15.85546875" style="3" customWidth="1"/>
    <col min="2" max="2" width="11.140625" style="3" bestFit="1" customWidth="1"/>
    <col min="3" max="3" width="6.140625" style="3" customWidth="1"/>
    <col min="4" max="5" width="9.5703125" style="2" customWidth="1"/>
    <col min="6" max="6" width="11.42578125" style="2" customWidth="1"/>
    <col min="7" max="7" width="11.28515625" style="2" bestFit="1" customWidth="1"/>
    <col min="8" max="8" width="14" style="2" customWidth="1"/>
    <col min="9" max="9" width="11.140625" style="2" bestFit="1" customWidth="1"/>
    <col min="10" max="10" width="13.140625" style="2" customWidth="1"/>
    <col min="11" max="11" width="10.42578125" style="3" customWidth="1"/>
    <col min="12" max="12" width="7.7109375" style="3" customWidth="1"/>
    <col min="13" max="13" width="7.85546875" style="3" customWidth="1"/>
    <col min="14" max="16384" width="9.140625" style="3"/>
  </cols>
  <sheetData>
    <row r="1" spans="1:18" ht="17.25" x14ac:dyDescent="0.3">
      <c r="A1" s="5" t="s">
        <v>0</v>
      </c>
      <c r="B1" s="5"/>
      <c r="C1" s="5"/>
      <c r="D1" s="6"/>
    </row>
    <row r="2" spans="1:18" ht="17.25" x14ac:dyDescent="0.3">
      <c r="A2" s="5" t="s">
        <v>31</v>
      </c>
      <c r="B2" s="5"/>
      <c r="C2" s="5"/>
      <c r="D2" s="6"/>
      <c r="E2" s="5"/>
      <c r="Q2" s="3" t="s">
        <v>32</v>
      </c>
      <c r="R2" s="3" t="s">
        <v>33</v>
      </c>
    </row>
    <row r="3" spans="1:18" ht="17.25" x14ac:dyDescent="0.3">
      <c r="A3" s="5" t="s">
        <v>29</v>
      </c>
      <c r="B3" s="5"/>
      <c r="C3" s="5"/>
      <c r="D3" s="6"/>
    </row>
    <row r="4" spans="1:18" ht="17.25" x14ac:dyDescent="0.3">
      <c r="A4" s="5" t="s">
        <v>30</v>
      </c>
      <c r="B4" s="5"/>
      <c r="C4" s="5"/>
      <c r="D4" s="6"/>
    </row>
    <row r="5" spans="1:18" ht="17.25" x14ac:dyDescent="0.3">
      <c r="A5" s="5" t="s">
        <v>1</v>
      </c>
      <c r="B5" s="5"/>
      <c r="C5" s="5"/>
      <c r="D5" s="6"/>
    </row>
    <row r="6" spans="1:18" ht="17.25" x14ac:dyDescent="0.3">
      <c r="A6" s="5"/>
      <c r="B6" s="5"/>
      <c r="C6" s="5"/>
      <c r="D6" s="6"/>
    </row>
    <row r="7" spans="1:18" ht="17.25" x14ac:dyDescent="0.3">
      <c r="A7" s="21" t="s">
        <v>28</v>
      </c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8" x14ac:dyDescent="0.25">
      <c r="A8" s="7" t="s">
        <v>2</v>
      </c>
      <c r="B8" s="7" t="s">
        <v>9</v>
      </c>
      <c r="C8" s="7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3" t="s">
        <v>15</v>
      </c>
      <c r="I8" s="13" t="s">
        <v>16</v>
      </c>
      <c r="J8" s="13" t="s">
        <v>7</v>
      </c>
      <c r="K8" s="7" t="s">
        <v>17</v>
      </c>
      <c r="L8" s="1"/>
    </row>
    <row r="9" spans="1:18" x14ac:dyDescent="0.25">
      <c r="A9" s="10">
        <v>1</v>
      </c>
      <c r="B9" s="10">
        <v>60</v>
      </c>
      <c r="C9" s="10">
        <v>2</v>
      </c>
      <c r="D9" s="15">
        <v>20</v>
      </c>
      <c r="E9" s="15">
        <v>50</v>
      </c>
      <c r="F9" s="15">
        <v>400</v>
      </c>
      <c r="G9" s="14">
        <f>B9*C9</f>
        <v>120</v>
      </c>
      <c r="H9" s="14">
        <f>G9+D9+E9</f>
        <v>190</v>
      </c>
      <c r="I9" s="14">
        <f t="shared" ref="I9:I15" si="0">F9-H9</f>
        <v>210</v>
      </c>
      <c r="J9" s="13" t="str">
        <f t="shared" ref="J9:J10" si="1">IF(I9&gt;120,"Surplus",IF(I9&lt;120,"Deficit", IF(I9= 120,"Even Break")))</f>
        <v>Surplus</v>
      </c>
      <c r="K9" s="12">
        <f>F9/H9</f>
        <v>2.1052631578947367</v>
      </c>
      <c r="L9" s="4"/>
    </row>
    <row r="10" spans="1:18" x14ac:dyDescent="0.25">
      <c r="A10" s="10">
        <v>2</v>
      </c>
      <c r="B10" s="10">
        <v>70</v>
      </c>
      <c r="C10" s="10">
        <v>4</v>
      </c>
      <c r="D10" s="15">
        <v>25</v>
      </c>
      <c r="E10" s="15">
        <v>60</v>
      </c>
      <c r="F10" s="15">
        <v>450</v>
      </c>
      <c r="G10" s="14">
        <f>B10*C10</f>
        <v>280</v>
      </c>
      <c r="H10" s="14">
        <f t="shared" ref="H10:H15" si="2">G10+D10+E10</f>
        <v>365</v>
      </c>
      <c r="I10" s="14">
        <f t="shared" si="0"/>
        <v>85</v>
      </c>
      <c r="J10" s="13" t="str">
        <f t="shared" si="1"/>
        <v>Deficit</v>
      </c>
      <c r="K10" s="12">
        <f t="shared" ref="K10:K15" si="3">F10/H10</f>
        <v>1.2328767123287672</v>
      </c>
      <c r="L10" s="4"/>
    </row>
    <row r="11" spans="1:18" x14ac:dyDescent="0.25">
      <c r="A11" s="10">
        <v>3</v>
      </c>
      <c r="B11" s="10">
        <v>80</v>
      </c>
      <c r="C11" s="10">
        <v>6</v>
      </c>
      <c r="D11" s="15">
        <v>30</v>
      </c>
      <c r="E11" s="15">
        <v>70</v>
      </c>
      <c r="F11" s="15">
        <v>700</v>
      </c>
      <c r="G11" s="14">
        <f t="shared" ref="G11:G15" si="4">B11*C11</f>
        <v>480</v>
      </c>
      <c r="H11" s="14">
        <f t="shared" si="2"/>
        <v>580</v>
      </c>
      <c r="I11" s="14">
        <f t="shared" si="0"/>
        <v>120</v>
      </c>
      <c r="J11" s="13" t="str">
        <f>IF(I11&gt;120,"Surplus",IF(I11&lt;120,"Deficit", IF(I11= 120,"Even Break")))</f>
        <v>Even Break</v>
      </c>
      <c r="K11" s="12">
        <f t="shared" si="3"/>
        <v>1.2068965517241379</v>
      </c>
      <c r="L11" s="4"/>
    </row>
    <row r="12" spans="1:18" x14ac:dyDescent="0.25">
      <c r="A12" s="10">
        <v>4</v>
      </c>
      <c r="B12" s="10">
        <v>45</v>
      </c>
      <c r="C12" s="10">
        <v>8</v>
      </c>
      <c r="D12" s="15">
        <v>70</v>
      </c>
      <c r="E12" s="15">
        <v>80</v>
      </c>
      <c r="F12" s="15">
        <v>900</v>
      </c>
      <c r="G12" s="14">
        <f t="shared" si="4"/>
        <v>360</v>
      </c>
      <c r="H12" s="14">
        <f t="shared" si="2"/>
        <v>510</v>
      </c>
      <c r="I12" s="14">
        <f t="shared" si="0"/>
        <v>390</v>
      </c>
      <c r="J12" s="13" t="str">
        <f t="shared" ref="J12:J15" si="5">IF(I12&gt;120,"Surplus",IF(I12&lt;120,"Deficit", IF(I12= 120,"Even Break")))</f>
        <v>Surplus</v>
      </c>
      <c r="K12" s="12">
        <f t="shared" si="3"/>
        <v>1.7647058823529411</v>
      </c>
      <c r="L12" s="4"/>
    </row>
    <row r="13" spans="1:18" x14ac:dyDescent="0.25">
      <c r="A13" s="10">
        <v>5</v>
      </c>
      <c r="B13" s="10">
        <v>50</v>
      </c>
      <c r="C13" s="10">
        <v>10</v>
      </c>
      <c r="D13" s="15">
        <v>40</v>
      </c>
      <c r="E13" s="15">
        <v>90</v>
      </c>
      <c r="F13" s="15">
        <v>650</v>
      </c>
      <c r="G13" s="14">
        <f t="shared" si="4"/>
        <v>500</v>
      </c>
      <c r="H13" s="14">
        <f t="shared" si="2"/>
        <v>630</v>
      </c>
      <c r="I13" s="14">
        <f t="shared" si="0"/>
        <v>20</v>
      </c>
      <c r="J13" s="13" t="str">
        <f t="shared" si="5"/>
        <v>Deficit</v>
      </c>
      <c r="K13" s="12">
        <f>F13/H13</f>
        <v>1.0317460317460319</v>
      </c>
      <c r="L13" s="4"/>
    </row>
    <row r="14" spans="1:18" x14ac:dyDescent="0.25">
      <c r="A14" s="10">
        <v>6</v>
      </c>
      <c r="B14" s="10">
        <v>55</v>
      </c>
      <c r="C14" s="10">
        <v>12</v>
      </c>
      <c r="D14" s="15">
        <v>45</v>
      </c>
      <c r="E14" s="15">
        <v>100</v>
      </c>
      <c r="F14" s="15">
        <v>1000</v>
      </c>
      <c r="G14" s="14">
        <f t="shared" si="4"/>
        <v>660</v>
      </c>
      <c r="H14" s="14">
        <f t="shared" si="2"/>
        <v>805</v>
      </c>
      <c r="I14" s="14">
        <f t="shared" si="0"/>
        <v>195</v>
      </c>
      <c r="J14" s="13" t="str">
        <f t="shared" si="5"/>
        <v>Surplus</v>
      </c>
      <c r="K14" s="12">
        <f t="shared" si="3"/>
        <v>1.2422360248447204</v>
      </c>
      <c r="L14" s="4"/>
    </row>
    <row r="15" spans="1:18" x14ac:dyDescent="0.25">
      <c r="A15" s="10">
        <v>7</v>
      </c>
      <c r="B15" s="10">
        <v>60</v>
      </c>
      <c r="C15" s="10">
        <v>14</v>
      </c>
      <c r="D15" s="15">
        <v>50</v>
      </c>
      <c r="E15" s="15">
        <v>110</v>
      </c>
      <c r="F15" s="15">
        <v>1200</v>
      </c>
      <c r="G15" s="14">
        <f t="shared" si="4"/>
        <v>840</v>
      </c>
      <c r="H15" s="14">
        <f t="shared" si="2"/>
        <v>1000</v>
      </c>
      <c r="I15" s="14">
        <f t="shared" si="0"/>
        <v>200</v>
      </c>
      <c r="J15" s="13" t="str">
        <f t="shared" si="5"/>
        <v>Surplus</v>
      </c>
      <c r="K15" s="12">
        <f t="shared" si="3"/>
        <v>1.2</v>
      </c>
      <c r="L15" s="4"/>
    </row>
    <row r="16" spans="1:18" x14ac:dyDescent="0.25">
      <c r="A16" s="7" t="s">
        <v>8</v>
      </c>
      <c r="B16" s="7">
        <f>SUM(B9:B15)</f>
        <v>420</v>
      </c>
      <c r="C16" s="7">
        <f t="shared" ref="C16:J16" si="6">SUM(C9:C15)</f>
        <v>56</v>
      </c>
      <c r="D16" s="11">
        <f t="shared" si="6"/>
        <v>280</v>
      </c>
      <c r="E16" s="11">
        <f t="shared" si="6"/>
        <v>560</v>
      </c>
      <c r="F16" s="11">
        <f t="shared" si="6"/>
        <v>5300</v>
      </c>
      <c r="G16" s="11">
        <f t="shared" si="6"/>
        <v>3240</v>
      </c>
      <c r="H16" s="14">
        <f t="shared" si="6"/>
        <v>4080</v>
      </c>
      <c r="I16" s="14">
        <f t="shared" si="6"/>
        <v>1220</v>
      </c>
      <c r="J16" s="22">
        <f>SUM(J9:J15)</f>
        <v>0</v>
      </c>
      <c r="K16" s="12">
        <f>SUM(K9:K15)</f>
        <v>9.783724360891334</v>
      </c>
      <c r="L16" s="1"/>
    </row>
    <row r="17" spans="1:10" x14ac:dyDescent="0.25">
      <c r="A17" s="20" t="s">
        <v>3</v>
      </c>
      <c r="B17" s="20"/>
      <c r="C17" s="17"/>
    </row>
    <row r="18" spans="1:10" x14ac:dyDescent="0.25">
      <c r="A18" s="8" t="s">
        <v>6</v>
      </c>
      <c r="B18" s="9">
        <f>SUM(F9:F15)</f>
        <v>5300</v>
      </c>
      <c r="C18" s="17"/>
    </row>
    <row r="19" spans="1:10" x14ac:dyDescent="0.25">
      <c r="A19" s="8" t="s">
        <v>5</v>
      </c>
      <c r="B19" s="9">
        <f>SUM(E9:E15)</f>
        <v>560</v>
      </c>
      <c r="C19" s="17"/>
    </row>
    <row r="20" spans="1:10" x14ac:dyDescent="0.25">
      <c r="A20" s="8" t="s">
        <v>4</v>
      </c>
      <c r="B20" s="9">
        <f>B18-B19</f>
        <v>4740</v>
      </c>
      <c r="C20" s="17"/>
    </row>
    <row r="21" spans="1:10" x14ac:dyDescent="0.25">
      <c r="A21" s="16" t="s">
        <v>18</v>
      </c>
      <c r="B21" s="17"/>
      <c r="C21" s="18"/>
      <c r="F21" s="3"/>
      <c r="I21" s="3"/>
      <c r="J21" s="3"/>
    </row>
    <row r="22" spans="1:10" x14ac:dyDescent="0.25">
      <c r="A22" s="16" t="s">
        <v>25</v>
      </c>
      <c r="B22" s="19"/>
      <c r="C22" s="19"/>
      <c r="D22" s="1"/>
      <c r="F22" s="3"/>
      <c r="I22" s="3"/>
      <c r="J22" s="3"/>
    </row>
    <row r="23" spans="1:10" x14ac:dyDescent="0.25">
      <c r="A23" s="16" t="s">
        <v>23</v>
      </c>
      <c r="B23" s="19"/>
      <c r="C23" s="19"/>
      <c r="D23" s="1"/>
      <c r="F23" s="3"/>
      <c r="I23" s="3"/>
      <c r="J23" s="3"/>
    </row>
    <row r="24" spans="1:10" x14ac:dyDescent="0.25">
      <c r="A24" s="16" t="s">
        <v>22</v>
      </c>
      <c r="B24" s="19"/>
      <c r="C24" s="19"/>
      <c r="D24" s="1"/>
      <c r="F24" s="3"/>
      <c r="I24" s="3"/>
      <c r="J24" s="3"/>
    </row>
    <row r="25" spans="1:10" x14ac:dyDescent="0.25">
      <c r="A25" s="16" t="s">
        <v>19</v>
      </c>
      <c r="B25" s="19"/>
      <c r="C25" s="19"/>
      <c r="D25" s="1"/>
      <c r="F25" s="3"/>
      <c r="I25" s="3"/>
      <c r="J25" s="3"/>
    </row>
    <row r="26" spans="1:10" x14ac:dyDescent="0.25">
      <c r="A26" s="16" t="s">
        <v>20</v>
      </c>
      <c r="B26" s="19"/>
      <c r="C26" s="19"/>
      <c r="D26" s="1"/>
      <c r="F26" s="3"/>
      <c r="I26" s="3"/>
      <c r="J26" s="3"/>
    </row>
    <row r="27" spans="1:10" x14ac:dyDescent="0.25">
      <c r="A27" s="16" t="s">
        <v>26</v>
      </c>
      <c r="B27" s="19"/>
      <c r="C27" s="19"/>
      <c r="D27" s="1"/>
      <c r="F27" s="3"/>
      <c r="G27" s="3"/>
      <c r="H27" s="3"/>
      <c r="I27" s="3"/>
      <c r="J27" s="3"/>
    </row>
    <row r="28" spans="1:10" x14ac:dyDescent="0.25">
      <c r="A28" s="16" t="s">
        <v>21</v>
      </c>
      <c r="B28" s="19"/>
      <c r="C28" s="19"/>
      <c r="D28" s="1"/>
      <c r="F28" s="3"/>
      <c r="G28" s="3"/>
      <c r="H28" s="3"/>
      <c r="I28" s="3"/>
      <c r="J28" s="3"/>
    </row>
    <row r="29" spans="1:10" x14ac:dyDescent="0.25">
      <c r="A29" s="16" t="s">
        <v>24</v>
      </c>
      <c r="B29" s="19"/>
      <c r="C29" s="19"/>
      <c r="D29" s="1"/>
      <c r="F29" s="3"/>
      <c r="G29" s="3"/>
      <c r="H29" s="3"/>
      <c r="I29" s="3"/>
      <c r="J29" s="3"/>
    </row>
    <row r="30" spans="1:10" x14ac:dyDescent="0.25">
      <c r="A30" s="16" t="s">
        <v>27</v>
      </c>
      <c r="B30" s="19"/>
      <c r="C30" s="19"/>
      <c r="D30" s="1"/>
      <c r="F30" s="3"/>
      <c r="G30" s="3"/>
      <c r="H30" s="3"/>
      <c r="I30" s="3"/>
      <c r="J30" s="3"/>
    </row>
    <row r="31" spans="1:10" x14ac:dyDescent="0.25">
      <c r="B31" s="1"/>
      <c r="C31" s="1"/>
      <c r="D31" s="1"/>
      <c r="E31" s="1"/>
      <c r="F31" s="3"/>
      <c r="G31" s="3"/>
      <c r="H31" s="3"/>
      <c r="I31" s="3"/>
      <c r="J31" s="3"/>
    </row>
    <row r="32" spans="1:10" x14ac:dyDescent="0.25">
      <c r="D32" s="3"/>
      <c r="E32" s="3"/>
      <c r="F32" s="3"/>
      <c r="G32" s="3"/>
      <c r="H32" s="3"/>
      <c r="I32" s="3"/>
      <c r="J32" s="3"/>
    </row>
    <row r="33" s="3" customFormat="1" x14ac:dyDescent="0.25"/>
    <row r="34" s="3" customFormat="1" x14ac:dyDescent="0.25"/>
  </sheetData>
  <mergeCells count="2">
    <mergeCell ref="A17:B17"/>
    <mergeCell ref="A7:K7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ASIGNMENT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Praise Onu</dc:creator>
  <cp:lastModifiedBy>Praise Onu</cp:lastModifiedBy>
  <cp:lastPrinted>2026-03-21T19:54:26Z</cp:lastPrinted>
  <dcterms:created xsi:type="dcterms:W3CDTF">2026-03-12T14:42:15Z</dcterms:created>
  <dcterms:modified xsi:type="dcterms:W3CDTF">2026-04-27T15:32:36Z</dcterms:modified>
</cp:coreProperties>
</file>